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<sst xmlns="http://schemas.openxmlformats.org/spreadsheetml/2006/main" count="94" uniqueCount="72">
  <si>
    <t>CYBERSECURITY POC ARCHIVE — WONDERLAND CTF</t>
  </si>
  <si>
    <r>
      <rPr>
        <rFont val="Arial"/>
        <color rgb="FF000000"/>
        <sz val="10.0"/>
      </rPr>
      <t xml:space="preserve">TryHackMe Room Link: </t>
    </r>
    <r>
      <rPr>
        <rFont val="Arial"/>
        <color rgb="FF1155CC"/>
        <sz val="10.0"/>
        <u/>
      </rPr>
      <t>https://tryhackme.com/room/wonderland</t>
    </r>
  </si>
  <si>
    <t>STEP #</t>
  </si>
  <si>
    <t>PHASE</t>
  </si>
  <si>
    <t>COMMAND / EXPLOIT STEP</t>
  </si>
  <si>
    <t>PROOF OF CONCEPT LINK</t>
  </si>
  <si>
    <t>TECHNICAL FINDINGS &amp; OBSERVATIONS</t>
  </si>
  <si>
    <t>Reconnaissance</t>
  </si>
  <si>
    <t>nmap scan</t>
  </si>
  <si>
    <t>Ports 22 and 80 open</t>
  </si>
  <si>
    <t>gobuster scan</t>
  </si>
  <si>
    <t>Discovered /img /r /index.html</t>
  </si>
  <si>
    <t>wget images</t>
  </si>
  <si>
    <t>Downloaded 3 images</t>
  </si>
  <si>
    <t>exiftool</t>
  </si>
  <si>
    <t>EXIF metadata checked</t>
  </si>
  <si>
    <t>steghide extract</t>
  </si>
  <si>
    <t>Extracted hint.txt</t>
  </si>
  <si>
    <t>cat hint.txt</t>
  </si>
  <si>
    <t>Hint text: follow the r a b b i t</t>
  </si>
  <si>
    <t>Web Exploitation</t>
  </si>
  <si>
    <t>curl path</t>
  </si>
  <si>
    <t>Hidden directory path</t>
  </si>
  <si>
    <t>View HTML Source</t>
  </si>
  <si>
    <t>Hidden creds in HTML tag</t>
  </si>
  <si>
    <t>Credentials</t>
  </si>
  <si>
    <t>Discovered alice password</t>
  </si>
  <si>
    <t>Initial Access</t>
  </si>
  <si>
    <t>ssh alice</t>
  </si>
  <si>
    <t>SSH login successful</t>
  </si>
  <si>
    <t>Enumeration</t>
  </si>
  <si>
    <t>whoami &amp;&amp; id</t>
  </si>
  <si>
    <t>alice context</t>
  </si>
  <si>
    <t>ls -la</t>
  </si>
  <si>
    <t>Found root.txt and python script</t>
  </si>
  <si>
    <t>ls -la /home/</t>
  </si>
  <si>
    <t>System users enumerated</t>
  </si>
  <si>
    <t>cat /etc/passwd</t>
  </si>
  <si>
    <t>Bash shell users identified</t>
  </si>
  <si>
    <t>cat root.txt</t>
  </si>
  <si>
    <t>Permission denied</t>
  </si>
  <si>
    <t>sudo -l</t>
  </si>
  <si>
    <t>Checked sudo rights</t>
  </si>
  <si>
    <t>find SUID</t>
  </si>
  <si>
    <t>SUID binaries enumerated</t>
  </si>
  <si>
    <t>getcap -r /</t>
  </si>
  <si>
    <t>Critical /usr/bin/perl capability</t>
  </si>
  <si>
    <t>cat /etc/crontab</t>
  </si>
  <si>
    <t>Cron jobs inspected</t>
  </si>
  <si>
    <t>PrivEsc Stage 1</t>
  </si>
  <si>
    <t>python hijack</t>
  </si>
  <si>
    <t>Escalated to rabbit user</t>
  </si>
  <si>
    <t>PrivEsc Stage 2</t>
  </si>
  <si>
    <t>ls /home/rabbit/</t>
  </si>
  <si>
    <t>Discovered teaParty SUID binary</t>
  </si>
  <si>
    <t>string check</t>
  </si>
  <si>
    <t>Unquoted relative date binary call</t>
  </si>
  <si>
    <t>malicious date</t>
  </si>
  <si>
    <t>Crafted date payload</t>
  </si>
  <si>
    <t>PATH hijack</t>
  </si>
  <si>
    <t>Escalated to hatter user</t>
  </si>
  <si>
    <t>PrivEsc Stage 3</t>
  </si>
  <si>
    <t>id as hatter</t>
  </si>
  <si>
    <t>Confirmed hatter context</t>
  </si>
  <si>
    <t>perl cap exploit</t>
  </si>
  <si>
    <t>Elevated to root shell</t>
  </si>
  <si>
    <t>Root Verification</t>
  </si>
  <si>
    <t>Confirmed root shell privileges</t>
  </si>
  <si>
    <t>Flags</t>
  </si>
  <si>
    <t>cat user.txt</t>
  </si>
  <si>
    <t>User Flag captured</t>
  </si>
  <si>
    <t>Root Flag captured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</si>
</sst>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  <scheme val="minor"/>
    </font>
    <font>
      <u/>
      <sz val="10.0"/>
      <color rgb="FF000000"/>
      <name val="Arial"/>
    </font>
    <font>
      <sz val="12.0"/>
      <color theme="1"/>
      <name val="Arial"/>
      <scheme val="minor"/>
    </font>
    <font>
      <b/>
      <sz val="12.0"/>
      <color rgb="FFFFFFFF"/>
      <name val="Arial"/>
    </font>
    <font>
      <u/>
      <sz val="12.0"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E1729"/>
        <bgColor rgb="FF0E1729"/>
      </patternFill>
    </fill>
    <fill>
      <patternFill patternType="solid">
        <fgColor rgb="FFD9D9D9"/>
        <bgColor rgb="FFD9D9D9"/>
      </patternFill>
    </fill>
    <fill>
      <patternFill patternType="solid">
        <fgColor rgb="FFF7FAFB"/>
        <bgColor rgb="FFF7FAFB"/>
      </patternFill>
    </fill>
    <fill>
      <patternFill patternType="solid">
        <fgColor rgb="FF1D293B"/>
        <bgColor rgb="FF1D293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Fill="1" applyFont="1"/>
    <xf borderId="0" fillId="4" fontId="3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readingOrder="0"/>
    </xf>
    <xf borderId="1" fillId="5" fontId="5" numFmtId="0" xfId="0" applyAlignment="1" applyBorder="1" applyFill="1" applyFont="1">
      <alignment horizontal="center" readingOrder="0" vertical="center"/>
    </xf>
    <xf borderId="2" fillId="0" fontId="4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yhackme.com/room/wonderlan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3.0"/>
    <col customWidth="1" min="3" max="3" width="33.13"/>
    <col customWidth="1" min="4" max="4" width="28.13"/>
    <col customWidth="1" min="5" max="5" width="56.88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3" t="s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4"/>
      <c r="B4" s="4"/>
      <c r="C4" s="4"/>
      <c r="D4" s="4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6">
        <v>1.0</v>
      </c>
      <c r="B6" s="6" t="s">
        <v>7</v>
      </c>
      <c r="C6" s="6" t="s">
        <v>8</v>
      </c>
      <c r="D6" s="7" t="str">
        <f>HYPERLINK("https://drive.google.com/file/d/1WOCCxN0un3fdOAReLMlcshW3E7sc5Jz0/view", "View POC")</f>
        <v>View POC</v>
      </c>
      <c r="E6" s="6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6">
        <v>2.0</v>
      </c>
      <c r="B7" s="6" t="s">
        <v>7</v>
      </c>
      <c r="C7" s="6" t="s">
        <v>10</v>
      </c>
      <c r="D7" s="7" t="str">
        <f>HYPERLINK("https://drive.google.com/file/d/1_1CvPhZmBnbRafaUJadgisKwMFj4bfa6/view", "View POC")</f>
        <v>View POC</v>
      </c>
      <c r="E7" s="6" t="s">
        <v>11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6">
        <v>3.0</v>
      </c>
      <c r="B8" s="6" t="s">
        <v>7</v>
      </c>
      <c r="C8" s="6" t="s">
        <v>12</v>
      </c>
      <c r="D8" s="7" t="str">
        <f>HYPERLINK("https://drive.google.com/file/d/1k-cMSrAHRb5Mqzu4B0-xDRGMxWV53lbT/view", "View POC")</f>
        <v>View POC</v>
      </c>
      <c r="E8" s="6" t="s">
        <v>13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6">
        <v>4.0</v>
      </c>
      <c r="B9" s="6" t="s">
        <v>7</v>
      </c>
      <c r="C9" s="6" t="s">
        <v>14</v>
      </c>
      <c r="D9" s="7" t="str">
        <f>HYPERLINK("https://drive.google.com/file/d/1TIgNv3AIqiE7nqwiFkIMfTvN_fL4SGVO/view", "View POC")</f>
        <v>View POC</v>
      </c>
      <c r="E9" s="6" t="s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6">
        <v>5.0</v>
      </c>
      <c r="B10" s="6" t="s">
        <v>7</v>
      </c>
      <c r="C10" s="6" t="s">
        <v>16</v>
      </c>
      <c r="D10" s="7" t="str">
        <f>HYPERLINK("https://drive.google.com/file/d/13GoTlCtQZYeIbPQAkt1Xj-jQReHXi6TL/view", "View POC")</f>
        <v>View POC</v>
      </c>
      <c r="E10" s="6" t="s">
        <v>17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6">
        <v>6.0</v>
      </c>
      <c r="B11" s="6" t="s">
        <v>7</v>
      </c>
      <c r="C11" s="6" t="s">
        <v>18</v>
      </c>
      <c r="D11" s="7" t="str">
        <f>HYPERLINK("https://drive.google.com/file/d/1JfWYJ2_nEkty0wDBd1tfHLrB38EXh0bN/view", "View POC")</f>
        <v>View POC</v>
      </c>
      <c r="E11" s="6" t="s">
        <v>19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6">
        <v>7.0</v>
      </c>
      <c r="B12" s="6" t="s">
        <v>20</v>
      </c>
      <c r="C12" s="6" t="s">
        <v>21</v>
      </c>
      <c r="D12" s="7" t="str">
        <f>HYPERLINK("https://drive.google.com/file/d/1gQTTnw5RE6LUek0zSJIrLcNlDoSNsQBu/view", "View POC")</f>
        <v>View POC</v>
      </c>
      <c r="E12" s="6" t="s">
        <v>22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6">
        <v>8.0</v>
      </c>
      <c r="B13" s="6" t="s">
        <v>20</v>
      </c>
      <c r="C13" s="6" t="s">
        <v>23</v>
      </c>
      <c r="D13" s="7" t="str">
        <f>HYPERLINK("https://drive.google.com/file/d/1ytDVSUlyj1NafdhKMr0jg9DfcsUb4ACW/view", "View POC")</f>
        <v>View POC</v>
      </c>
      <c r="E13" s="6" t="s">
        <v>24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6">
        <v>9.0</v>
      </c>
      <c r="B14" s="6" t="s">
        <v>20</v>
      </c>
      <c r="C14" s="6" t="s">
        <v>25</v>
      </c>
      <c r="D14" s="7" t="str">
        <f t="shared" ref="D14:D15" si="1">HYPERLINK("https://drive.google.com/file/d/1iQBO_hNlvJgwODMZN9J6hRlJjVCnnePS/view", "View POC")</f>
        <v>View POC</v>
      </c>
      <c r="E14" s="6" t="s">
        <v>26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6">
        <v>10.0</v>
      </c>
      <c r="B15" s="6" t="s">
        <v>27</v>
      </c>
      <c r="C15" s="6" t="s">
        <v>28</v>
      </c>
      <c r="D15" s="7" t="str">
        <f t="shared" si="1"/>
        <v>View POC</v>
      </c>
      <c r="E15" s="6" t="s">
        <v>29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6">
        <v>11.0</v>
      </c>
      <c r="B16" s="6" t="s">
        <v>30</v>
      </c>
      <c r="C16" s="6" t="s">
        <v>31</v>
      </c>
      <c r="D16" s="7" t="str">
        <f>HYPERLINK("https://drive.google.com/file/d/1NpJx8HsqfjW8-zpI-iSGBXBvE0D5OOTs/view", "View POC")</f>
        <v>View POC</v>
      </c>
      <c r="E16" s="6" t="s">
        <v>32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6">
        <v>12.0</v>
      </c>
      <c r="B17" s="6" t="s">
        <v>30</v>
      </c>
      <c r="C17" s="6" t="s">
        <v>33</v>
      </c>
      <c r="D17" s="7" t="str">
        <f>HYPERLINK("https://drive.google.com/file/d/1JN9MDQypwTUlS3lHAYSPsyzSjqgpcw7c/view", "View POC")</f>
        <v>View POC</v>
      </c>
      <c r="E17" s="6" t="s">
        <v>34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6">
        <v>13.0</v>
      </c>
      <c r="B18" s="6" t="s">
        <v>30</v>
      </c>
      <c r="C18" s="6" t="s">
        <v>35</v>
      </c>
      <c r="D18" s="7" t="str">
        <f>HYPERLINK("https://drive.google.com/file/d/1ZkTR9JMBpQnEe7YeBnmVvFI1L94ypI7m/view", "View POC")</f>
        <v>View POC</v>
      </c>
      <c r="E18" s="6" t="s">
        <v>36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6">
        <v>14.0</v>
      </c>
      <c r="B19" s="6" t="s">
        <v>30</v>
      </c>
      <c r="C19" s="6" t="s">
        <v>37</v>
      </c>
      <c r="D19" s="7" t="str">
        <f>HYPERLINK("https://drive.google.com/file/d/1obiMttG3lsCt2cdvu6n7Xhs-EcLBdhVJ/view", "View POC")</f>
        <v>View POC</v>
      </c>
      <c r="E19" s="6" t="s">
        <v>38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6">
        <v>15.0</v>
      </c>
      <c r="B20" s="6" t="s">
        <v>30</v>
      </c>
      <c r="C20" s="6" t="s">
        <v>39</v>
      </c>
      <c r="D20" s="7" t="str">
        <f>HYPERLINK("https://drive.google.com/file/d/1Ter2wxvh2zXoI_apskdE-w8W9F-ocVEz/view", "View POC")</f>
        <v>View POC</v>
      </c>
      <c r="E20" s="6" t="s">
        <v>40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6">
        <v>16.0</v>
      </c>
      <c r="B21" s="6" t="s">
        <v>30</v>
      </c>
      <c r="C21" s="6" t="s">
        <v>41</v>
      </c>
      <c r="D21" s="7" t="str">
        <f>HYPERLINK("https://drive.google.com/file/d/1Ly1tPn--e-sMk6mv7z3WQOkrSW6Z3SQ3/view", "View POC")</f>
        <v>View POC</v>
      </c>
      <c r="E21" s="6" t="s">
        <v>42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6">
        <v>17.0</v>
      </c>
      <c r="B22" s="6" t="s">
        <v>30</v>
      </c>
      <c r="C22" s="6" t="s">
        <v>43</v>
      </c>
      <c r="D22" s="7" t="str">
        <f t="shared" ref="D22:D23" si="2">HYPERLINK("https://drive.google.com/file/d/1zowh8yZZAHiPRiinPYZlMDa_MGCVMhv4/view", "View POC")</f>
        <v>View POC</v>
      </c>
      <c r="E22" s="6" t="s">
        <v>44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6">
        <v>18.0</v>
      </c>
      <c r="B23" s="6" t="s">
        <v>30</v>
      </c>
      <c r="C23" s="6" t="s">
        <v>45</v>
      </c>
      <c r="D23" s="7" t="str">
        <f t="shared" si="2"/>
        <v>View POC</v>
      </c>
      <c r="E23" s="6" t="s">
        <v>46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6">
        <v>19.0</v>
      </c>
      <c r="B24" s="6" t="s">
        <v>30</v>
      </c>
      <c r="C24" s="6" t="s">
        <v>47</v>
      </c>
      <c r="D24" s="7" t="str">
        <f>HYPERLINK("https://drive.google.com/file/d/1rzTJQDiU6wRr4f5jCB53b-zJSyRaDgvD/view", "View POC")</f>
        <v>View POC</v>
      </c>
      <c r="E24" s="6" t="s">
        <v>48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6">
        <v>20.0</v>
      </c>
      <c r="B25" s="6" t="s">
        <v>49</v>
      </c>
      <c r="C25" s="6" t="s">
        <v>50</v>
      </c>
      <c r="D25" s="7" t="str">
        <f>HYPERLINK("https://drive.google.com/file/d/1_4G1vEtDTwNSF98270S7PI8Di8BDC9VA/view", "View POC")</f>
        <v>View POC</v>
      </c>
      <c r="E25" s="6" t="s">
        <v>51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6">
        <v>21.0</v>
      </c>
      <c r="B26" s="6" t="s">
        <v>52</v>
      </c>
      <c r="C26" s="6" t="s">
        <v>53</v>
      </c>
      <c r="D26" s="7" t="str">
        <f>HYPERLINK("https://drive.google.com/file/d/1hhOJ8MRhN16YXGQbLoJ4qy2ZKGWvzTLq/view", "View POC")</f>
        <v>View POC</v>
      </c>
      <c r="E26" s="6" t="s">
        <v>54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6">
        <v>22.0</v>
      </c>
      <c r="B27" s="6" t="s">
        <v>52</v>
      </c>
      <c r="C27" s="6" t="s">
        <v>55</v>
      </c>
      <c r="D27" s="7" t="str">
        <f>HYPERLINK("https://drive.google.com/file/d/129PYcRe-RDeIS8nMmh9h7J2U-HcHtNjh/view", "View POC")</f>
        <v>View POC</v>
      </c>
      <c r="E27" s="6" t="s">
        <v>56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6">
        <v>23.0</v>
      </c>
      <c r="B28" s="6" t="s">
        <v>52</v>
      </c>
      <c r="C28" s="6" t="s">
        <v>57</v>
      </c>
      <c r="D28" s="7" t="str">
        <f>HYPERLINK("https://drive.google.com/file/d/106onGhhPSZ3TK_wWZKDfsMHQmQJAoft3/view", "View POC")</f>
        <v>View POC</v>
      </c>
      <c r="E28" s="6" t="s">
        <v>58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6">
        <v>24.0</v>
      </c>
      <c r="B29" s="6" t="s">
        <v>52</v>
      </c>
      <c r="C29" s="6" t="s">
        <v>59</v>
      </c>
      <c r="D29" s="7" t="str">
        <f>HYPERLINK("https://drive.google.com/file/d/1C-bV6Ldq27HcO2AMWIvN1uWOcNROXbut/view", "View POC")</f>
        <v>View POC</v>
      </c>
      <c r="E29" s="6" t="s">
        <v>60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6">
        <v>25.0</v>
      </c>
      <c r="B30" s="6" t="s">
        <v>61</v>
      </c>
      <c r="C30" s="6" t="s">
        <v>62</v>
      </c>
      <c r="D30" s="7" t="str">
        <f>HYPERLINK("https://drive.google.com/file/d/1QQrLt1cUlF-M86UsX2mVsiXDxsLi1qtG/view", "View POC")</f>
        <v>View POC</v>
      </c>
      <c r="E30" s="6" t="s">
        <v>63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6">
        <v>26.0</v>
      </c>
      <c r="B31" s="6" t="s">
        <v>61</v>
      </c>
      <c r="C31" s="6" t="s">
        <v>64</v>
      </c>
      <c r="D31" s="7" t="str">
        <f>HYPERLINK("https://drive.google.com/file/d/1D-bOFv5fBEYd8AdVrow8KQmnJ9UNnxMW/view", "View POC")</f>
        <v>View POC</v>
      </c>
      <c r="E31" s="6" t="s">
        <v>65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6">
        <v>27.0</v>
      </c>
      <c r="B32" s="6" t="s">
        <v>66</v>
      </c>
      <c r="C32" s="6" t="s">
        <v>31</v>
      </c>
      <c r="D32" s="7" t="str">
        <f>HYPERLINK("https://drive.google.com/file/d/1a3FPor5ytEDSIkOTOYUgkSGkJVRty6QO/view", "View POC")</f>
        <v>View POC</v>
      </c>
      <c r="E32" s="6" t="s">
        <v>67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6">
        <v>28.0</v>
      </c>
      <c r="B33" s="6" t="s">
        <v>68</v>
      </c>
      <c r="C33" s="6" t="s">
        <v>69</v>
      </c>
      <c r="D33" s="7" t="str">
        <f>HYPERLINK("https://drive.google.com/file/d/1r5MCivY4BNMy6Yqb-c33RyJWQ4kITDlj/view", "View POC")</f>
        <v>View POC</v>
      </c>
      <c r="E33" s="6" t="s">
        <v>70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6">
        <v>29.0</v>
      </c>
      <c r="B34" s="6" t="s">
        <v>68</v>
      </c>
      <c r="C34" s="6" t="s">
        <v>39</v>
      </c>
      <c r="D34" s="7" t="str">
        <f>HYPERLINK("https://drive.google.com/file/d/1CwfN_kUdh5Z2x1K_7BtUnHEl8xnHSGSR/view", "View POC")</f>
        <v>View POC</v>
      </c>
      <c r="E34" s="6" t="s">
        <v>71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  <row r="1001"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</row>
  </sheetData>
  <mergeCells count="2">
    <mergeCell ref="A1:E2"/>
    <mergeCell ref="A3:E3"/>
  </mergeCells>
  <hyperlinks>
    <hyperlink r:id="rId1" ref="A3"/>
  </hyperlinks>
  <drawing r:id="rId2"/>
</worksheet>
</file>